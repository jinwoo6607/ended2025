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\학교\1학기\한남대\2주차\"/>
    </mc:Choice>
  </mc:AlternateContent>
  <xr:revisionPtr revIDLastSave="0" documentId="13_ncr:1_{2E581ABB-BA2A-4D30-A798-F19D36D42FDB}" xr6:coauthVersionLast="47" xr6:coauthVersionMax="47" xr10:uidLastSave="{00000000-0000-0000-0000-000000000000}"/>
  <bookViews>
    <workbookView xWindow="345" yWindow="255" windowWidth="25275" windowHeight="14940" xr2:uid="{4580CEF2-BFFC-4622-A904-2E938C915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17" i="1"/>
  <c r="G8" i="1"/>
  <c r="E8" i="1"/>
  <c r="D8" i="1"/>
  <c r="F4" i="1"/>
  <c r="H4" i="1" s="1"/>
  <c r="F5" i="1"/>
  <c r="H5" i="1" s="1"/>
  <c r="F6" i="1"/>
  <c r="H6" i="1" s="1"/>
  <c r="F7" i="1"/>
  <c r="H7" i="1" s="1"/>
  <c r="F3" i="1"/>
  <c r="H3" i="1" s="1"/>
  <c r="H8" i="1" l="1"/>
  <c r="F8" i="1"/>
</calcChain>
</file>

<file path=xl/sharedStrings.xml><?xml version="1.0" encoding="utf-8"?>
<sst xmlns="http://schemas.openxmlformats.org/spreadsheetml/2006/main" count="49" uniqueCount="38">
  <si>
    <t>구분</t>
  </si>
  <si>
    <t>요인번호</t>
  </si>
  <si>
    <t>요인명</t>
  </si>
  <si>
    <t>평가점수</t>
  </si>
  <si>
    <t>가중치</t>
  </si>
  <si>
    <t>가중점수</t>
  </si>
  <si>
    <t>개인차원의</t>
  </si>
  <si>
    <t>기업가정신</t>
  </si>
  <si>
    <t>IE-1</t>
  </si>
  <si>
    <t>성취욕구</t>
  </si>
  <si>
    <t>IE-2</t>
  </si>
  <si>
    <t>자기통제능력</t>
  </si>
  <si>
    <t>IE-3</t>
  </si>
  <si>
    <t>위험감수성</t>
  </si>
  <si>
    <t>IE-4</t>
  </si>
  <si>
    <t>창의력</t>
  </si>
  <si>
    <t>IE-5</t>
  </si>
  <si>
    <t>자기유능감</t>
  </si>
  <si>
    <t>소계</t>
  </si>
  <si>
    <t>개인차원의기업가정신(IE#):</t>
  </si>
  <si>
    <t>조직차원의</t>
  </si>
  <si>
    <t>CE-1</t>
  </si>
  <si>
    <t>혁신성</t>
  </si>
  <si>
    <t>/6</t>
  </si>
  <si>
    <t>CE-2</t>
  </si>
  <si>
    <t>CE-3</t>
  </si>
  <si>
    <t>진취성</t>
  </si>
  <si>
    <t>조직차원의기업가정신(CE#):</t>
  </si>
  <si>
    <t>합계</t>
  </si>
  <si>
    <t>기업가정신역량점수(IE#×41.2%+CE#×58.5%):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</si>
  <si>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</si>
  <si>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</si>
  <si>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</si>
  <si>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</si>
  <si>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</si>
  <si>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</si>
  <si>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정답수</t>
  </si>
  <si>
    <t>문항수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</si>
</sst>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name val="Arial"/>
      <family val="2"/>
    </font>
    <font>
      <b/>
      <sz val="10.1"/>
      <color rgb="FF000000"/>
      <name val="맑은 고딕"/>
      <family val="3"/>
      <charset val="129"/>
    </font>
    <font>
      <sz val="10.1"/>
      <color rgb="FF000000"/>
      <name val="HY중고딕"/>
      <family val="1"/>
      <charset val="129"/>
    </font>
    <font>
      <sz val="10.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top" wrapText="1"/>
    </xf>
    <xf numFmtId="10" fontId="5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vertical="center" wrapText="1" readingOrder="1"/>
    </xf>
    <xf numFmtId="9" fontId="5" fillId="0" borderId="1" xfId="0" applyNumberFormat="1" applyFont="1" applyBorder="1" applyAlignment="1">
      <alignment horizontal="center" vertical="center" wrapText="1" readingOrder="1"/>
    </xf>
    <xf numFmtId="10" fontId="5" fillId="0" borderId="1" xfId="1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0" fontId="4" fillId="0" borderId="1" xfId="0" applyNumberFormat="1" applyFont="1" applyBorder="1" applyAlignment="1">
      <alignment horizontal="center" vertical="center" wrapText="1" readingOrder="1"/>
    </xf>
    <xf numFmtId="10" fontId="4" fillId="0" borderId="1" xfId="0" applyNumberFormat="1" applyFont="1" applyBorder="1" applyAlignment="1">
      <alignment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기업가정신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Sheet1!$A$17:$A$21</c:f>
              <c:strCache>
                <c:ptCount val="5"/>
                <c:pt idx="0">
                  <c:v>성취욕구</c:v>
                </c:pt>
                <c:pt idx="1">
                  <c:v>자기통제능력</c:v>
                </c:pt>
                <c:pt idx="2">
                  <c:v>위험감수성</c:v>
                </c:pt>
                <c:pt idx="3">
                  <c:v>창의력</c:v>
                </c:pt>
                <c:pt idx="4">
                  <c:v>자기유능감</c:v>
                </c:pt>
              </c:strCache>
            </c:strRef>
          </c:cat>
          <c:val>
            <c:numRef>
              <c:f>Sheet1!$B$17:$B$21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9-4CAD-A69D-D34B2BC9CFF8}"/>
            </c:ext>
          </c:extLst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Sheet1!$A$17:$A$21</c:f>
              <c:strCache>
                <c:ptCount val="5"/>
                <c:pt idx="0">
                  <c:v>성취욕구</c:v>
                </c:pt>
                <c:pt idx="1">
                  <c:v>자기통제능력</c:v>
                </c:pt>
                <c:pt idx="2">
                  <c:v>위험감수성</c:v>
                </c:pt>
                <c:pt idx="3">
                  <c:v>창의력</c:v>
                </c:pt>
                <c:pt idx="4">
                  <c:v>자기유능감</c:v>
                </c:pt>
              </c:strCache>
            </c:strRef>
          </c:cat>
          <c:val>
            <c:numRef>
              <c:f>Sheet1!$C$17:$C$21</c:f>
              <c:numCache>
                <c:formatCode>0%</c:formatCode>
                <c:ptCount val="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69-4CAD-A69D-D34B2BC9CFF8}"/>
            </c:ext>
          </c:extLst>
        </c:ser>
        <c:ser>
          <c:idx val="2"/>
          <c:order val="2"/>
          <c:tx>
            <c:strRef>
              <c:f>Sheet1!$D$16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Sheet1!$A$17:$A$21</c:f>
              <c:strCache>
                <c:ptCount val="5"/>
                <c:pt idx="0">
                  <c:v>성취욕구</c:v>
                </c:pt>
                <c:pt idx="1">
                  <c:v>자기통제능력</c:v>
                </c:pt>
                <c:pt idx="2">
                  <c:v>위험감수성</c:v>
                </c:pt>
                <c:pt idx="3">
                  <c:v>창의력</c:v>
                </c:pt>
                <c:pt idx="4">
                  <c:v>자기유능감</c:v>
                </c:pt>
              </c:strCache>
            </c:strRef>
          </c:cat>
          <c:val>
            <c:numRef>
              <c:f>Sheet1!$D$17:$D$21</c:f>
              <c:numCache>
                <c:formatCode>0%</c:formatCode>
                <c:ptCount val="5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469-4CAD-A69D-D34B2BC9CFF8}"/>
            </c:ext>
          </c:extLst>
        </c:ser>
        <c:ser>
          <c:idx val="3"/>
          <c:order val="3"/>
          <c:tx>
            <c:strRef>
              <c:f>Sheet1!$E$16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Sheet1!$A$17:$A$21</c:f>
              <c:strCache>
                <c:ptCount val="5"/>
                <c:pt idx="0">
                  <c:v>성취욕구</c:v>
                </c:pt>
                <c:pt idx="1">
                  <c:v>자기통제능력</c:v>
                </c:pt>
                <c:pt idx="2">
                  <c:v>위험감수성</c:v>
                </c:pt>
                <c:pt idx="3">
                  <c:v>창의력</c:v>
                </c:pt>
                <c:pt idx="4">
                  <c:v>자기유능감</c:v>
                </c:pt>
              </c:strCache>
            </c:strRef>
          </c:cat>
          <c:val>
            <c:numRef>
              <c:f>Sheet1!$E$17:$E$21</c:f>
              <c:numCache>
                <c:formatCode>0%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469-4CAD-A69D-D34B2BC9CFF8}"/>
            </c:ext>
          </c:extLst>
        </c:ser>
        <c:ser>
          <c:idx val="4"/>
          <c:order val="4"/>
          <c:tx>
            <c:strRef>
              <c:f>Sheet1!$F$16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Sheet1!$A$17:$A$21</c:f>
              <c:strCache>
                <c:ptCount val="5"/>
                <c:pt idx="0">
                  <c:v>성취욕구</c:v>
                </c:pt>
                <c:pt idx="1">
                  <c:v>자기통제능력</c:v>
                </c:pt>
                <c:pt idx="2">
                  <c:v>위험감수성</c:v>
                </c:pt>
                <c:pt idx="3">
                  <c:v>창의력</c:v>
                </c:pt>
                <c:pt idx="4">
                  <c:v>자기유능감</c:v>
                </c:pt>
              </c:strCache>
            </c:strRef>
          </c:cat>
          <c:val>
            <c:numRef>
              <c:f>Sheet1!$F$17:$F$21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69-4CAD-A69D-D34B2BC9CFF8}"/>
            </c:ext>
          </c:extLst>
        </c:ser>
        <c:ser>
          <c:idx val="5"/>
          <c:order val="5"/>
          <c:tx>
            <c:strRef>
              <c:f>Sheet1!$G$16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Sheet1!$A$17:$A$21</c:f>
              <c:strCache>
                <c:ptCount val="5"/>
                <c:pt idx="0">
                  <c:v>성취욕구</c:v>
                </c:pt>
                <c:pt idx="1">
                  <c:v>자기통제능력</c:v>
                </c:pt>
                <c:pt idx="2">
                  <c:v>위험감수성</c:v>
                </c:pt>
                <c:pt idx="3">
                  <c:v>창의력</c:v>
                </c:pt>
                <c:pt idx="4">
                  <c:v>자기유능감</c:v>
                </c:pt>
              </c:strCache>
            </c:strRef>
          </c:cat>
          <c:val>
            <c:numRef>
              <c:f>Sheet1!$G$17:$G$21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69-4CAD-A69D-D34B2BC9C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682336"/>
        <c:axId val="486681504"/>
      </c:radarChart>
      <c:catAx>
        <c:axId val="48668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6681504"/>
        <c:crosses val="autoZero"/>
        <c:auto val="1"/>
        <c:lblAlgn val="ctr"/>
        <c:lblOffset val="100"/>
        <c:noMultiLvlLbl val="0"/>
      </c:catAx>
      <c:valAx>
        <c:axId val="4866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668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647700</xdr:colOff>
      <xdr:row>1</xdr:row>
      <xdr:rowOff>0</xdr:rowOff>
    </xdr:from>
    <xdr:to>
      <xdr:col>18</xdr:col>
      <xdr:colOff>0</xdr:colOff>
      <xdr:row>19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EE124D0-FEB9-40BB-A2A1-DF5BE5B89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E9EF-0F27-42DE-8669-1354DF0FF833}">
  <dimension ref="A2:O21"/>
  <sheetViews>
    <sheetView tabSelected="1" workbookViewId="0">
      <selection activeCell="F10" sqref="F10"/>
    </sheetView>
  </sheetViews>
  <sheetFormatPr defaultRowHeight="16.5" x14ac:dyDescent="0.3"/>
  <cols>
    <col min="1" max="1" width="11.125" customWidth="1"/>
    <col min="3" max="3" width="11.75" customWidth="1"/>
    <col min="4" max="4" width="8.375" customWidth="1"/>
    <col min="5" max="5" width="8" customWidth="1"/>
    <col min="6" max="6" width="16.125" customWidth="1"/>
    <col min="8" max="8" width="12.125" bestFit="1" customWidth="1"/>
  </cols>
  <sheetData>
    <row r="2" spans="1:15" x14ac:dyDescent="0.3">
      <c r="A2" s="4" t="s">
        <v>0</v>
      </c>
      <c r="B2" s="3" t="s">
        <v>1</v>
      </c>
      <c r="C2" s="3" t="s">
        <v>2</v>
      </c>
      <c r="D2" s="3" t="s">
        <v>37</v>
      </c>
      <c r="E2" s="3" t="s">
        <v>36</v>
      </c>
      <c r="F2" s="3" t="s">
        <v>3</v>
      </c>
      <c r="G2" s="3" t="s">
        <v>4</v>
      </c>
      <c r="H2" s="3" t="s">
        <v>5</v>
      </c>
    </row>
    <row r="3" spans="1:15" x14ac:dyDescent="0.3">
      <c r="A3" s="5" t="s">
        <v>6</v>
      </c>
      <c r="B3" s="6" t="s">
        <v>8</v>
      </c>
      <c r="C3" s="6" t="s">
        <v>9</v>
      </c>
      <c r="D3" s="6">
        <v>9</v>
      </c>
      <c r="E3" s="16">
        <v>9</v>
      </c>
      <c r="F3" s="12">
        <f>E3/D3</f>
        <v>1</v>
      </c>
      <c r="G3" s="8">
        <v>0.23400000000000001</v>
      </c>
      <c r="H3" s="12">
        <f>F3*G3</f>
        <v>0.23400000000000001</v>
      </c>
    </row>
    <row r="4" spans="1:15" x14ac:dyDescent="0.3">
      <c r="A4" s="6" t="s">
        <v>7</v>
      </c>
      <c r="B4" s="6" t="s">
        <v>10</v>
      </c>
      <c r="C4" s="6" t="s">
        <v>11</v>
      </c>
      <c r="D4" s="6">
        <v>7</v>
      </c>
      <c r="E4" s="16">
        <v>7</v>
      </c>
      <c r="F4" s="12">
        <f t="shared" ref="F4:F7" si="0">E4/D4</f>
        <v>1</v>
      </c>
      <c r="G4" s="8">
        <v>0.17699999999999999</v>
      </c>
      <c r="H4" s="12">
        <f t="shared" ref="H4:H7" si="1">F4*G4</f>
        <v>0.17699999999999999</v>
      </c>
    </row>
    <row r="5" spans="1:15" x14ac:dyDescent="0.3">
      <c r="A5" s="9"/>
      <c r="B5" s="6" t="s">
        <v>12</v>
      </c>
      <c r="C5" s="6" t="s">
        <v>13</v>
      </c>
      <c r="D5" s="6">
        <v>10</v>
      </c>
      <c r="E5" s="16">
        <v>10</v>
      </c>
      <c r="F5" s="12">
        <f t="shared" si="0"/>
        <v>1</v>
      </c>
      <c r="G5" s="8">
        <v>0.16800000000000001</v>
      </c>
      <c r="H5" s="12">
        <f t="shared" si="1"/>
        <v>0.16800000000000001</v>
      </c>
    </row>
    <row r="6" spans="1:15" x14ac:dyDescent="0.3">
      <c r="A6" s="9"/>
      <c r="B6" s="6" t="s">
        <v>14</v>
      </c>
      <c r="C6" s="6" t="s">
        <v>15</v>
      </c>
      <c r="D6" s="6">
        <v>11</v>
      </c>
      <c r="E6" s="16">
        <v>11</v>
      </c>
      <c r="F6" s="12">
        <f t="shared" si="0"/>
        <v>1</v>
      </c>
      <c r="G6" s="8">
        <v>0.24099999999999999</v>
      </c>
      <c r="H6" s="12">
        <f t="shared" si="1"/>
        <v>0.24099999999999999</v>
      </c>
    </row>
    <row r="7" spans="1:15" x14ac:dyDescent="0.3">
      <c r="A7" s="9"/>
      <c r="B7" s="6" t="s">
        <v>16</v>
      </c>
      <c r="C7" s="6" t="s">
        <v>17</v>
      </c>
      <c r="D7" s="6">
        <v>9</v>
      </c>
      <c r="E7" s="16">
        <v>9</v>
      </c>
      <c r="F7" s="12">
        <f t="shared" si="0"/>
        <v>1</v>
      </c>
      <c r="G7" s="8">
        <v>0.18</v>
      </c>
      <c r="H7" s="12">
        <f t="shared" si="1"/>
        <v>0.18</v>
      </c>
    </row>
    <row r="8" spans="1:15" ht="23.25" customHeight="1" x14ac:dyDescent="0.3">
      <c r="A8" s="10" t="s">
        <v>18</v>
      </c>
      <c r="B8" s="18" t="s">
        <v>19</v>
      </c>
      <c r="C8" s="19"/>
      <c r="D8" s="13">
        <f>SUM(D3:D7)</f>
        <v>46</v>
      </c>
      <c r="E8" s="13">
        <f>SUM(E3:E7)</f>
        <v>46</v>
      </c>
      <c r="F8" s="14">
        <f>SUM(F3:F7)</f>
        <v>5</v>
      </c>
      <c r="G8" s="15">
        <f>SUM(G3:G7)</f>
        <v>1</v>
      </c>
      <c r="H8" s="12">
        <f>SUM(H3:H7)</f>
        <v>1</v>
      </c>
    </row>
    <row r="9" spans="1:15" ht="23.25" x14ac:dyDescent="0.3">
      <c r="A9" s="5" t="s">
        <v>20</v>
      </c>
      <c r="B9" s="6" t="s">
        <v>21</v>
      </c>
      <c r="C9" s="6" t="s">
        <v>22</v>
      </c>
      <c r="D9" s="6" t="s">
        <v>23</v>
      </c>
      <c r="E9" s="6"/>
      <c r="F9" s="7"/>
      <c r="G9" s="8">
        <v>0.48599999999999999</v>
      </c>
      <c r="H9" s="7"/>
    </row>
    <row r="10" spans="1:15" ht="23.25" x14ac:dyDescent="0.3">
      <c r="A10" s="6" t="s">
        <v>7</v>
      </c>
      <c r="B10" s="6" t="s">
        <v>24</v>
      </c>
      <c r="C10" s="6" t="s">
        <v>13</v>
      </c>
      <c r="D10" s="6" t="s">
        <v>23</v>
      </c>
      <c r="E10" s="6"/>
      <c r="F10" s="7"/>
      <c r="G10" s="8">
        <v>0.187</v>
      </c>
      <c r="H10" s="7"/>
    </row>
    <row r="11" spans="1:15" ht="23.25" x14ac:dyDescent="0.3">
      <c r="A11" s="9"/>
      <c r="B11" s="6" t="s">
        <v>25</v>
      </c>
      <c r="C11" s="6" t="s">
        <v>26</v>
      </c>
      <c r="D11" s="6" t="s">
        <v>23</v>
      </c>
      <c r="E11" s="6"/>
      <c r="F11" s="7"/>
      <c r="G11" s="8">
        <v>0.32800000000000001</v>
      </c>
      <c r="H11" s="7"/>
    </row>
    <row r="12" spans="1:15" ht="23.25" x14ac:dyDescent="0.3">
      <c r="G12" s="2" t="s">
        <v>18</v>
      </c>
      <c r="J12" s="17" t="s">
        <v>27</v>
      </c>
      <c r="K12" s="17"/>
      <c r="L12" s="17"/>
      <c r="M12" s="17"/>
      <c r="N12" s="17"/>
      <c r="O12" s="1"/>
    </row>
    <row r="13" spans="1:15" ht="23.25" x14ac:dyDescent="0.3">
      <c r="G13" s="2" t="s">
        <v>28</v>
      </c>
      <c r="J13" s="17" t="s">
        <v>29</v>
      </c>
      <c r="K13" s="17"/>
      <c r="L13" s="17"/>
      <c r="M13" s="17"/>
      <c r="N13" s="17"/>
      <c r="O13" s="1"/>
    </row>
    <row r="16" spans="1:15" x14ac:dyDescent="0.3">
      <c r="A16" s="3" t="s">
        <v>2</v>
      </c>
      <c r="B16" s="3" t="s">
        <v>30</v>
      </c>
      <c r="C16" s="3" t="s">
        <v>31</v>
      </c>
      <c r="D16" s="3" t="s">
        <v>32</v>
      </c>
      <c r="E16" s="3" t="s">
        <v>33</v>
      </c>
      <c r="F16" s="3" t="s">
        <v>34</v>
      </c>
      <c r="G16" s="3" t="s">
        <v>35</v>
      </c>
    </row>
    <row r="17" spans="1:7" x14ac:dyDescent="0.3">
      <c r="A17" s="6" t="s">
        <v>9</v>
      </c>
      <c r="B17" s="11">
        <v>0.2</v>
      </c>
      <c r="C17" s="11">
        <v>0.4</v>
      </c>
      <c r="D17" s="11">
        <v>0.6</v>
      </c>
      <c r="E17" s="11">
        <v>0.8</v>
      </c>
      <c r="F17" s="11">
        <v>1</v>
      </c>
      <c r="G17" s="11">
        <f>E3/D3</f>
        <v>1</v>
      </c>
    </row>
    <row r="18" spans="1:7" x14ac:dyDescent="0.3">
      <c r="A18" s="6" t="s">
        <v>11</v>
      </c>
      <c r="B18" s="11">
        <v>0.2</v>
      </c>
      <c r="C18" s="11">
        <v>0.4</v>
      </c>
      <c r="D18" s="11">
        <v>0.6</v>
      </c>
      <c r="E18" s="11">
        <v>0.8</v>
      </c>
      <c r="F18" s="11">
        <v>1</v>
      </c>
      <c r="G18" s="11">
        <f t="shared" ref="G18:G21" si="2">E4/D4</f>
        <v>1</v>
      </c>
    </row>
    <row r="19" spans="1:7" x14ac:dyDescent="0.3">
      <c r="A19" s="6" t="s">
        <v>13</v>
      </c>
      <c r="B19" s="11">
        <v>0.2</v>
      </c>
      <c r="C19" s="11">
        <v>0.4</v>
      </c>
      <c r="D19" s="11">
        <v>0.6</v>
      </c>
      <c r="E19" s="11">
        <v>0.8</v>
      </c>
      <c r="F19" s="11">
        <v>1</v>
      </c>
      <c r="G19" s="11">
        <f t="shared" si="2"/>
        <v>1</v>
      </c>
    </row>
    <row r="20" spans="1:7" x14ac:dyDescent="0.3">
      <c r="A20" s="6" t="s">
        <v>15</v>
      </c>
      <c r="B20" s="11">
        <v>0.2</v>
      </c>
      <c r="C20" s="11">
        <v>0.4</v>
      </c>
      <c r="D20" s="11">
        <v>0.6</v>
      </c>
      <c r="E20" s="11">
        <v>0.8</v>
      </c>
      <c r="F20" s="11">
        <v>1</v>
      </c>
      <c r="G20" s="11">
        <f t="shared" si="2"/>
        <v>1</v>
      </c>
    </row>
    <row r="21" spans="1:7" x14ac:dyDescent="0.3">
      <c r="A21" s="6" t="s">
        <v>17</v>
      </c>
      <c r="B21" s="11">
        <v>0.2</v>
      </c>
      <c r="C21" s="11">
        <v>0.4</v>
      </c>
      <c r="D21" s="11">
        <v>0.6</v>
      </c>
      <c r="E21" s="11">
        <v>0.8</v>
      </c>
      <c r="F21" s="11">
        <v>1</v>
      </c>
      <c r="G21" s="11">
        <f t="shared" si="2"/>
        <v>1</v>
      </c>
    </row>
  </sheetData>
  <mergeCells count="3">
    <mergeCell ref="J12:N12"/>
    <mergeCell ref="J13:N13"/>
    <mergeCell ref="B8:C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admin_six</dc:creator>
  <cp:lastModifiedBy>상조 육</cp:lastModifiedBy>
  <dcterms:created xsi:type="dcterms:W3CDTF">2020-12-09T08:41:39Z</dcterms:created>
  <dcterms:modified xsi:type="dcterms:W3CDTF">2025-01-07T12:45:13Z</dcterms:modified>
</cp:coreProperties>
</file>